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_An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<sst xmlns="http://schemas.openxmlformats.org/spreadsheetml/2006/main" count="56" uniqueCount="26">
  <si>
    <t xml:space="preserve">by fragments</t>
  </si>
  <si>
    <t xml:space="preserve">batch</t>
  </si>
  <si>
    <t xml:space="preserve">Error clustering</t>
  </si>
  <si>
    <t xml:space="preserve">Out of memory</t>
  </si>
  <si>
    <t xml:space="preserve">Mission accomplished</t>
  </si>
  <si>
    <t xml:space="preserve">total</t>
  </si>
  <si>
    <t xml:space="preserve">batch1</t>
  </si>
  <si>
    <t xml:space="preserve">batch2</t>
  </si>
  <si>
    <t xml:space="preserve">batch3</t>
  </si>
  <si>
    <t xml:space="preserve">batch4</t>
  </si>
  <si>
    <t xml:space="preserve">by protein</t>
  </si>
  <si>
    <t xml:space="preserve">full prot error clustering</t>
  </si>
  <si>
    <t xml:space="preserve">full prot Out of memory</t>
  </si>
  <si>
    <t xml:space="preserve">full prot error (mix of error and memory)</t>
  </si>
  <si>
    <t xml:space="preserve">full prot Mission accomplished</t>
  </si>
  <si>
    <t xml:space="preserve">partial prot Mission accomplished*</t>
  </si>
  <si>
    <t xml:space="preserve">total_unique</t>
  </si>
  <si>
    <t xml:space="preserve">only partial prot Mission accomplished</t>
  </si>
  <si>
    <t xml:space="preserve">*at least one piece run succesfully</t>
  </si>
  <si>
    <t xml:space="preserve">All lower gamma &lt; 4</t>
  </si>
  <si>
    <t xml:space="preserve">Only one lower gamma &gt;= 4</t>
  </si>
  <si>
    <t xml:space="preserve">Several &gt;= 4 (all &gt;= 20 apart)</t>
  </si>
  <si>
    <t xml:space="preserve">Several &gt;= 4 (&lt;20 apart)</t>
  </si>
  <si>
    <t xml:space="preserve">at least one tractable cluster (2-3 aa cluster less 20 codons apart from each others)</t>
  </si>
  <si>
    <t xml:space="preserve">by proteins*</t>
  </si>
  <si>
    <t xml:space="preserve">*at least one fragment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</si>
</sst>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26.25"/>
    <col collapsed="false" customWidth="true" hidden="false" outlineLevel="0" max="3" min="3" style="0" width="20.25"/>
    <col collapsed="false" customWidth="true" hidden="false" outlineLevel="0" max="4" min="4" style="0" width="26.25"/>
    <col collapsed="false" customWidth="true" hidden="false" outlineLevel="0" max="5" min="5" style="0" width="23.01"/>
    <col collapsed="false" customWidth="true" hidden="false" outlineLevel="0" max="6" min="6" style="0" width="26.25"/>
    <col collapsed="false" customWidth="true" hidden="false" outlineLevel="0" max="7" min="7" style="0" width="19.63"/>
    <col collapsed="false" customWidth="true" hidden="false" outlineLevel="0" max="8" min="8" style="0" width="17.74"/>
    <col collapsed="false" customWidth="true" hidden="false" outlineLevel="0" max="9" min="9" style="0" width="23.01"/>
    <col collapsed="false" customWidth="true" hidden="false" outlineLevel="0" max="10" min="10" style="0" width="23.38"/>
    <col collapsed="false" customWidth="true" hidden="false" outlineLevel="0" max="11" min="11" style="0" width="19.63"/>
    <col collapsed="false" customWidth="true" hidden="false" outlineLevel="0" max="13" min="13" style="0" width="20.13"/>
  </cols>
  <sheetData>
    <row r="1" customFormat="false" ht="15.7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2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/>
      <c r="I2" s="2"/>
      <c r="J2" s="2"/>
      <c r="K2" s="2"/>
      <c r="M2" s="2"/>
    </row>
    <row r="3" customFormat="false" ht="15.75" hidden="false" customHeight="false" outlineLevel="0" collapsed="false">
      <c r="A3" s="1" t="s">
        <v>6</v>
      </c>
      <c r="B3" s="1" t="n">
        <v>1366</v>
      </c>
      <c r="C3" s="3" t="n">
        <f aca="false">E3-D3-B3</f>
        <v>214</v>
      </c>
      <c r="D3" s="1" t="n">
        <v>1892</v>
      </c>
      <c r="E3" s="1" t="n">
        <v>3472</v>
      </c>
      <c r="H3" s="2"/>
      <c r="I3" s="2"/>
      <c r="J3" s="2"/>
      <c r="K3" s="2"/>
      <c r="M3" s="2"/>
    </row>
    <row r="4" customFormat="false" ht="15.75" hidden="false" customHeight="false" outlineLevel="0" collapsed="false">
      <c r="A4" s="1" t="s">
        <v>7</v>
      </c>
      <c r="B4" s="1" t="n">
        <v>1337</v>
      </c>
      <c r="C4" s="3" t="n">
        <f aca="false">E4-D4-B4</f>
        <v>195</v>
      </c>
      <c r="D4" s="1" t="n">
        <v>1897</v>
      </c>
      <c r="E4" s="1" t="n">
        <v>3429</v>
      </c>
      <c r="H4" s="2"/>
      <c r="I4" s="2"/>
      <c r="J4" s="2"/>
      <c r="K4" s="2"/>
      <c r="M4" s="2"/>
    </row>
    <row r="5" customFormat="false" ht="15.75" hidden="false" customHeight="false" outlineLevel="0" collapsed="false">
      <c r="A5" s="1" t="s">
        <v>8</v>
      </c>
      <c r="B5" s="1" t="n">
        <v>1331</v>
      </c>
      <c r="C5" s="3" t="n">
        <f aca="false">E5-D5-B5</f>
        <v>287</v>
      </c>
      <c r="D5" s="1" t="n">
        <v>1894</v>
      </c>
      <c r="E5" s="1" t="n">
        <v>3512</v>
      </c>
      <c r="H5" s="2"/>
      <c r="I5" s="2"/>
      <c r="J5" s="2"/>
      <c r="K5" s="2"/>
      <c r="M5" s="2"/>
    </row>
    <row r="6" customFormat="false" ht="15.75" hidden="false" customHeight="false" outlineLevel="0" collapsed="false">
      <c r="A6" s="1" t="s">
        <v>9</v>
      </c>
      <c r="B6" s="1" t="n">
        <v>48</v>
      </c>
      <c r="C6" s="3" t="n">
        <f aca="false">E6-D6-B6</f>
        <v>52</v>
      </c>
      <c r="D6" s="1" t="n">
        <v>60</v>
      </c>
      <c r="E6" s="1" t="n">
        <v>160</v>
      </c>
      <c r="H6" s="2"/>
      <c r="I6" s="2"/>
      <c r="J6" s="2"/>
      <c r="K6" s="2"/>
      <c r="M6" s="2"/>
    </row>
    <row r="7" customFormat="false" ht="15.75" hidden="false" customHeight="false" outlineLevel="0" collapsed="false">
      <c r="A7" s="2" t="s">
        <v>5</v>
      </c>
      <c r="B7" s="4" t="n">
        <f aca="false">SUM(B3:B6)</f>
        <v>4082</v>
      </c>
      <c r="C7" s="4" t="n">
        <f aca="false">SUM(C3:C6)</f>
        <v>748</v>
      </c>
      <c r="D7" s="4" t="n">
        <f aca="false">SUM(D3:D6)</f>
        <v>5743</v>
      </c>
      <c r="E7" s="4" t="n">
        <f aca="false">SUM(E3:E6)</f>
        <v>10573</v>
      </c>
      <c r="F7" s="4"/>
      <c r="G7" s="4"/>
      <c r="H7" s="2"/>
      <c r="I7" s="2"/>
      <c r="J7" s="2"/>
      <c r="K7" s="2"/>
      <c r="L7" s="4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customFormat="false" ht="15.75" hidden="false" customHeight="false" outlineLevel="0" collapsed="false">
      <c r="D8" s="3" t="n">
        <f aca="false">D7/E7</f>
        <v>0.543176014376241</v>
      </c>
      <c r="H8" s="2"/>
      <c r="I8" s="2"/>
      <c r="J8" s="2"/>
      <c r="K8" s="2"/>
      <c r="M8" s="2"/>
    </row>
    <row r="9" customFormat="false" ht="15.75" hidden="false" customHeight="false" outlineLevel="0" collapsed="false">
      <c r="A9" s="1" t="s">
        <v>10</v>
      </c>
      <c r="H9" s="1"/>
      <c r="I9" s="1"/>
      <c r="J9" s="1"/>
      <c r="K9" s="1"/>
    </row>
    <row r="10" customFormat="false" ht="15.75" hidden="false" customHeight="false" outlineLevel="0" collapsed="false">
      <c r="A10" s="2" t="s">
        <v>1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4"/>
      <c r="J10" s="2"/>
      <c r="K10" s="2"/>
      <c r="L10" s="2"/>
      <c r="M10" s="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customFormat="false" ht="15.75" hidden="false" customHeight="false" outlineLevel="0" collapsed="false">
      <c r="A11" s="1" t="s">
        <v>6</v>
      </c>
      <c r="B11" s="1" t="n">
        <v>1073</v>
      </c>
      <c r="C11" s="1" t="n">
        <v>104</v>
      </c>
      <c r="D11" s="1" t="n">
        <v>11</v>
      </c>
      <c r="E11" s="1" t="n">
        <v>1536</v>
      </c>
      <c r="F11" s="1" t="n">
        <v>1772</v>
      </c>
      <c r="G11" s="1" t="n">
        <v>3000</v>
      </c>
      <c r="H11" s="3" t="n">
        <f aca="false">G11-E11-D11-C11-B11</f>
        <v>276</v>
      </c>
      <c r="J11" s="1"/>
      <c r="K11" s="1"/>
      <c r="L11" s="1"/>
      <c r="M11" s="1"/>
    </row>
    <row r="12" customFormat="false" ht="15.75" hidden="false" customHeight="false" outlineLevel="0" collapsed="false">
      <c r="A12" s="1" t="s">
        <v>7</v>
      </c>
      <c r="B12" s="1" t="n">
        <v>1081</v>
      </c>
      <c r="C12" s="1" t="n">
        <v>107</v>
      </c>
      <c r="D12" s="1" t="n">
        <v>51</v>
      </c>
      <c r="E12" s="1" t="n">
        <v>1582</v>
      </c>
      <c r="F12" s="1" t="n">
        <v>1761</v>
      </c>
      <c r="G12" s="1" t="n">
        <v>3000</v>
      </c>
      <c r="H12" s="3" t="n">
        <f aca="false">G12-E12-D12-C12-B12</f>
        <v>179</v>
      </c>
      <c r="J12" s="1"/>
      <c r="K12" s="1"/>
      <c r="L12" s="1"/>
      <c r="M12" s="1"/>
    </row>
    <row r="13" customFormat="false" ht="15.75" hidden="false" customHeight="false" outlineLevel="0" collapsed="false">
      <c r="A13" s="1" t="s">
        <v>8</v>
      </c>
      <c r="B13" s="1" t="n">
        <v>1019</v>
      </c>
      <c r="C13" s="1" t="n">
        <v>133</v>
      </c>
      <c r="D13" s="1" t="n">
        <v>54</v>
      </c>
      <c r="E13" s="1" t="n">
        <v>1549</v>
      </c>
      <c r="F13" s="1" t="n">
        <v>1763</v>
      </c>
      <c r="G13" s="1" t="n">
        <v>3000</v>
      </c>
      <c r="H13" s="3" t="n">
        <f aca="false">G13-E13-D13-C13-B13</f>
        <v>245</v>
      </c>
    </row>
    <row r="14" customFormat="false" ht="15.75" hidden="false" customHeight="false" outlineLevel="0" collapsed="false">
      <c r="A14" s="1" t="s">
        <v>9</v>
      </c>
      <c r="B14" s="1" t="n">
        <v>37</v>
      </c>
      <c r="C14" s="1" t="n">
        <v>12</v>
      </c>
      <c r="D14" s="1" t="n">
        <v>2</v>
      </c>
      <c r="E14" s="1" t="n">
        <v>76</v>
      </c>
      <c r="F14" s="1" t="n">
        <v>59</v>
      </c>
      <c r="G14" s="1" t="n">
        <v>137</v>
      </c>
      <c r="H14" s="3" t="n">
        <f aca="false">G14-E14-D14-C14-B14</f>
        <v>10</v>
      </c>
    </row>
    <row r="15" customFormat="false" ht="15.75" hidden="false" customHeight="false" outlineLevel="0" collapsed="false">
      <c r="A15" s="2" t="s">
        <v>5</v>
      </c>
      <c r="B15" s="4" t="n">
        <f aca="false">SUM(B11:B14)</f>
        <v>3210</v>
      </c>
      <c r="C15" s="4" t="n">
        <f aca="false">SUM(C11:C14)</f>
        <v>356</v>
      </c>
      <c r="D15" s="4" t="n">
        <f aca="false">SUM(D11:D14)</f>
        <v>118</v>
      </c>
      <c r="E15" s="4" t="n">
        <f aca="false">SUM(E11:E14)</f>
        <v>4743</v>
      </c>
      <c r="F15" s="4" t="n">
        <f aca="false">SUM(F11:F14)</f>
        <v>5355</v>
      </c>
      <c r="G15" s="4" t="n">
        <f aca="false">SUM(G11:G14)</f>
        <v>9137</v>
      </c>
      <c r="H15" s="4" t="n">
        <f aca="false">SUM(H11:H14)</f>
        <v>710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7" customFormat="false" ht="15.75" hidden="false" customHeight="false" outlineLevel="0" collapsed="false">
      <c r="D17" s="1"/>
      <c r="E17" s="1"/>
      <c r="F17" s="1" t="s">
        <v>18</v>
      </c>
    </row>
    <row r="18" customFormat="false" ht="15.75" hidden="false" customHeight="false" outlineLevel="0" collapsed="false">
      <c r="A18" s="1" t="s">
        <v>0</v>
      </c>
    </row>
    <row r="19" customFormat="false" ht="15.75" hidden="false" customHeight="false" outlineLevel="0" collapsed="false">
      <c r="A19" s="2" t="s">
        <v>1</v>
      </c>
      <c r="B19" s="2" t="s">
        <v>4</v>
      </c>
      <c r="C19" s="2" t="s">
        <v>5</v>
      </c>
      <c r="D19" s="5" t="s">
        <v>19</v>
      </c>
      <c r="E19" s="5" t="s">
        <v>20</v>
      </c>
      <c r="F19" s="5" t="s">
        <v>21</v>
      </c>
      <c r="G19" s="5" t="s">
        <v>22</v>
      </c>
      <c r="I19" s="2" t="s">
        <v>23</v>
      </c>
    </row>
    <row r="20" customFormat="false" ht="15.75" hidden="false" customHeight="false" outlineLevel="0" collapsed="false">
      <c r="A20" s="1" t="s">
        <v>6</v>
      </c>
      <c r="B20" s="1" t="n">
        <v>1892</v>
      </c>
      <c r="C20" s="1" t="n">
        <v>3472</v>
      </c>
      <c r="D20" s="6" t="n">
        <v>1547</v>
      </c>
      <c r="E20" s="6" t="n">
        <v>46</v>
      </c>
      <c r="F20" s="6" t="n">
        <v>12</v>
      </c>
      <c r="G20" s="6" t="n">
        <v>287</v>
      </c>
      <c r="H20" s="3" t="n">
        <f aca="false">D20+E20+F20+G20</f>
        <v>1892</v>
      </c>
      <c r="I20" s="1" t="n">
        <v>206</v>
      </c>
    </row>
    <row r="21" customFormat="false" ht="15.75" hidden="false" customHeight="false" outlineLevel="0" collapsed="false">
      <c r="A21" s="1" t="s">
        <v>7</v>
      </c>
      <c r="B21" s="1" t="n">
        <v>1897</v>
      </c>
      <c r="C21" s="1" t="n">
        <v>3429</v>
      </c>
      <c r="D21" s="6" t="n">
        <v>1451</v>
      </c>
      <c r="E21" s="6" t="n">
        <v>52</v>
      </c>
      <c r="F21" s="6" t="n">
        <v>11</v>
      </c>
      <c r="G21" s="6" t="n">
        <v>383</v>
      </c>
      <c r="H21" s="3" t="n">
        <f aca="false">D21+E21+F21+G21</f>
        <v>1897</v>
      </c>
      <c r="I21" s="1" t="n">
        <v>294</v>
      </c>
    </row>
    <row r="22" customFormat="false" ht="15.75" hidden="false" customHeight="false" outlineLevel="0" collapsed="false">
      <c r="A22" s="1" t="s">
        <v>8</v>
      </c>
      <c r="B22" s="1" t="n">
        <v>1894</v>
      </c>
      <c r="C22" s="1" t="n">
        <v>3512</v>
      </c>
      <c r="D22" s="6" t="n">
        <v>1557</v>
      </c>
      <c r="E22" s="6" t="n">
        <v>73</v>
      </c>
      <c r="F22" s="6" t="n">
        <v>7</v>
      </c>
      <c r="G22" s="6" t="n">
        <v>257</v>
      </c>
      <c r="H22" s="3" t="n">
        <f aca="false">D22+E22+F22+G22</f>
        <v>1894</v>
      </c>
      <c r="I22" s="1" t="n">
        <v>183</v>
      </c>
    </row>
    <row r="23" customFormat="false" ht="15.75" hidden="false" customHeight="false" outlineLevel="0" collapsed="false">
      <c r="A23" s="1" t="s">
        <v>9</v>
      </c>
      <c r="B23" s="1" t="n">
        <v>60</v>
      </c>
      <c r="C23" s="1" t="n">
        <v>160</v>
      </c>
      <c r="D23" s="6" t="n">
        <v>44</v>
      </c>
      <c r="E23" s="6" t="n">
        <v>3</v>
      </c>
      <c r="F23" s="6" t="n">
        <v>0</v>
      </c>
      <c r="G23" s="6" t="n">
        <v>13</v>
      </c>
      <c r="H23" s="3" t="n">
        <f aca="false">D23+E23+F23+G23</f>
        <v>60</v>
      </c>
      <c r="I23" s="1" t="n">
        <v>8</v>
      </c>
    </row>
    <row r="24" customFormat="false" ht="15.75" hidden="false" customHeight="false" outlineLevel="0" collapsed="false">
      <c r="A24" s="2" t="s">
        <v>5</v>
      </c>
      <c r="B24" s="4" t="n">
        <f aca="false">SUM(B20:B23)</f>
        <v>5743</v>
      </c>
      <c r="C24" s="4" t="n">
        <f aca="false">SUM(C20:C23)</f>
        <v>10573</v>
      </c>
      <c r="D24" s="4" t="n">
        <f aca="false">SUM(D20:D23)</f>
        <v>4599</v>
      </c>
      <c r="E24" s="4" t="n">
        <f aca="false">SUM(E20:E23)</f>
        <v>174</v>
      </c>
      <c r="F24" s="4" t="n">
        <f aca="false">SUM(F20:F23)</f>
        <v>30</v>
      </c>
      <c r="G24" s="4" t="n">
        <f aca="false">SUM(G20:G23)</f>
        <v>940</v>
      </c>
      <c r="H24" s="4" t="n">
        <f aca="false">SUM(H20:H23)</f>
        <v>5743</v>
      </c>
      <c r="I24" s="4" t="n">
        <f aca="false">SUM(I20:I23)</f>
        <v>691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8" customFormat="false" ht="15.75" hidden="false" customHeight="false" outlineLevel="0" collapsed="false">
      <c r="A28" s="1" t="s">
        <v>24</v>
      </c>
    </row>
    <row r="29" customFormat="false" ht="15.75" hidden="false" customHeight="false" outlineLevel="0" collapsed="false">
      <c r="A29" s="2" t="s">
        <v>1</v>
      </c>
      <c r="B29" s="2" t="s">
        <v>15</v>
      </c>
      <c r="C29" s="2" t="s">
        <v>16</v>
      </c>
      <c r="D29" s="5" t="s">
        <v>19</v>
      </c>
      <c r="E29" s="5" t="s">
        <v>20</v>
      </c>
      <c r="F29" s="5" t="s">
        <v>21</v>
      </c>
      <c r="G29" s="5" t="s">
        <v>22</v>
      </c>
      <c r="I29" s="2" t="s">
        <v>23</v>
      </c>
    </row>
    <row r="30" customFormat="false" ht="15.75" hidden="false" customHeight="false" outlineLevel="0" collapsed="false">
      <c r="A30" s="1" t="s">
        <v>6</v>
      </c>
      <c r="B30" s="1" t="n">
        <v>1772</v>
      </c>
      <c r="C30" s="1" t="n">
        <v>3000</v>
      </c>
      <c r="D30" s="1" t="n">
        <v>1436</v>
      </c>
      <c r="E30" s="1" t="n">
        <v>44</v>
      </c>
      <c r="F30" s="1" t="n">
        <v>12</v>
      </c>
      <c r="G30" s="1" t="n">
        <v>280</v>
      </c>
      <c r="H30" s="3" t="n">
        <f aca="false">D30+E30+F30+G30</f>
        <v>1772</v>
      </c>
      <c r="I30" s="1" t="n">
        <v>201</v>
      </c>
    </row>
    <row r="31" customFormat="false" ht="15.75" hidden="false" customHeight="false" outlineLevel="0" collapsed="false">
      <c r="A31" s="1" t="s">
        <v>7</v>
      </c>
      <c r="B31" s="1" t="n">
        <v>1761</v>
      </c>
      <c r="C31" s="1" t="n">
        <v>3000</v>
      </c>
      <c r="D31" s="1" t="n">
        <v>1328</v>
      </c>
      <c r="E31" s="1" t="n">
        <v>48</v>
      </c>
      <c r="F31" s="1" t="n">
        <v>10</v>
      </c>
      <c r="G31" s="1" t="n">
        <v>375</v>
      </c>
      <c r="H31" s="3" t="n">
        <f aca="false">D31+E31+F31+G31</f>
        <v>1761</v>
      </c>
      <c r="I31" s="1" t="n">
        <v>290</v>
      </c>
    </row>
    <row r="32" customFormat="false" ht="15.75" hidden="false" customHeight="false" outlineLevel="0" collapsed="false">
      <c r="A32" s="1" t="s">
        <v>8</v>
      </c>
      <c r="B32" s="1" t="n">
        <v>1763</v>
      </c>
      <c r="C32" s="1" t="n">
        <v>3000</v>
      </c>
      <c r="D32" s="1" t="n">
        <v>1433</v>
      </c>
      <c r="E32" s="1" t="n">
        <v>71</v>
      </c>
      <c r="F32" s="1" t="n">
        <v>7</v>
      </c>
      <c r="G32" s="1" t="n">
        <v>252</v>
      </c>
      <c r="H32" s="3" t="n">
        <f aca="false">D32+E32+F32+G32</f>
        <v>1763</v>
      </c>
      <c r="I32" s="1" t="n">
        <v>181</v>
      </c>
    </row>
    <row r="33" customFormat="false" ht="15.75" hidden="false" customHeight="false" outlineLevel="0" collapsed="false">
      <c r="A33" s="1" t="s">
        <v>9</v>
      </c>
      <c r="B33" s="1" t="n">
        <v>59</v>
      </c>
      <c r="C33" s="1" t="n">
        <v>137</v>
      </c>
      <c r="D33" s="1" t="n">
        <v>44</v>
      </c>
      <c r="E33" s="1" t="n">
        <v>3</v>
      </c>
      <c r="F33" s="1" t="n">
        <v>0</v>
      </c>
      <c r="G33" s="1" t="n">
        <v>12</v>
      </c>
      <c r="H33" s="3" t="n">
        <f aca="false">D33+E33+F33+G33</f>
        <v>59</v>
      </c>
      <c r="I33" s="1" t="n">
        <v>7</v>
      </c>
    </row>
    <row r="34" customFormat="false" ht="15.75" hidden="false" customHeight="false" outlineLevel="0" collapsed="false">
      <c r="A34" s="2" t="s">
        <v>5</v>
      </c>
      <c r="B34" s="4" t="n">
        <f aca="false">SUM(B30:B33)</f>
        <v>5355</v>
      </c>
      <c r="C34" s="4" t="n">
        <f aca="false">SUM(C30:C33)</f>
        <v>9137</v>
      </c>
      <c r="D34" s="4" t="n">
        <f aca="false">SUM(D30:D33)</f>
        <v>4241</v>
      </c>
      <c r="E34" s="4" t="n">
        <f aca="false">SUM(E30:E33)</f>
        <v>166</v>
      </c>
      <c r="F34" s="4" t="n">
        <f aca="false">SUM(F30:F33)</f>
        <v>29</v>
      </c>
      <c r="G34" s="4" t="n">
        <f aca="false">SUM(G30:G33)</f>
        <v>919</v>
      </c>
      <c r="H34" s="4" t="n">
        <f aca="false">SUM(H30:H33)</f>
        <v>5355</v>
      </c>
      <c r="I34" s="4" t="n">
        <f aca="false">SUM(I30:I33)</f>
        <v>679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6" customFormat="false" ht="15.75" hidden="false" customHeight="false" outlineLevel="0" collapsed="false">
      <c r="A36" s="1" t="s">
        <v>25</v>
      </c>
      <c r="B36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2025-09-30T14:22:55Z</dcterms:modified>
  <cp:revision>1</cp:revision>
  <dc:subject/>
  <dc:title/>
</cp:coreProperties>
</file>